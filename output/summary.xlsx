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d comparison" sheetId="2" state="visible" r:id="rId2"/>
    <sheet xmlns:r="http://schemas.openxmlformats.org/officeDocument/2006/relationships" name="Cornell vs 60-40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i val="1"/>
    </font>
    <font>
      <name val="Arial"/>
      <color rgb="000000FF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2" borderId="0" applyAlignment="1" pivotButton="0" quotePrefix="0" xfId="0">
      <alignment vertical="center" wrapText="1"/>
    </xf>
    <xf numFmtId="164" fontId="2" fillId="0" borderId="0" pivotButton="0" quotePrefix="0" xfId="0"/>
    <xf numFmtId="2" fontId="2" fillId="0" borderId="0" pivotButton="0" quotePrefix="0" xfId="0"/>
    <xf numFmtId="10" fontId="5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1" fontId="3" fillId="0" borderId="0" pivotButton="0" quotePrefix="0" xfId="0"/>
    <xf numFmtId="0" fontId="3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Cornell vs. 60/40 by fiscal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'Cornell vs 60-40'!B1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'Cornell vs 60-40'!$A$2:$A$12</f>
            </numRef>
          </cat>
          <val>
            <numRef>
              <f>'Cornell vs 60-40'!$B$2:$B$12</f>
            </numRef>
          </val>
        </ser>
        <ser>
          <idx val="1"/>
          <order val="1"/>
          <tx>
            <strRef>
              <f>'Cornell vs 60-40'!C1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'Cornell vs 60-40'!$A$2:$A$12</f>
            </numRef>
          </cat>
          <val>
            <numRef>
              <f>'Cornell vs 60-40'!$C$2:$C$12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mba.tuck.dartmouth.edu/pages/faculty/ken.french/ftp/F-F_Research_Data_Factors_CSV.zip" TargetMode="External" Id="rId1"/><Relationship Type="http://schemas.openxmlformats.org/officeDocument/2006/relationships/hyperlink" Target="https://investmentoffice.cornell.edu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Endowment Manager Evaluation: Skill or Luck?</t>
        </is>
      </c>
    </row>
    <row r="2">
      <c r="A2" s="2" t="inlineStr">
        <is>
          <t>Prepared October 02, 2026. Fund data Jan 2015 to Aug 2026; Cornell data FY2015-FY2025.</t>
        </is>
      </c>
    </row>
    <row r="4">
      <c r="A4" s="3" t="inlineStr">
        <is>
          <t>Bottom line</t>
        </is>
      </c>
    </row>
    <row r="5" ht="34" customHeight="1">
      <c r="A5" s="4" t="inlineStr">
        <is>
          <t>After fees, 0 of the 3 active funds showed statistically significant alpha over Jan 2015 to Aug 2026 (140 months, 95% level). Fidelity Contrafund had the highest estimate, +1.7%/yr (95% CI -0.8% to +4.2%).</t>
        </is>
      </c>
    </row>
    <row r="6" ht="34" customHeight="1">
      <c r="A6" s="4" t="inlineStr">
        <is>
          <t>Cornell's FY2015-FY2025 returns averaged 8.7% vs. 8.5% for a simple 60/40 index portfolio. The +0.2% gap is far below the ~4.8%/yr needed to tell skill from luck with 11 years of data.</t>
        </is>
      </c>
    </row>
    <row r="7" ht="34" customHeight="1">
      <c r="A7" s="4" t="inlineStr">
        <is>
          <t>Conclusion: about 10 years of returns cannot prove skill for either the funds or the endowment; fees and style (factor) exposure explain most of what looks like outperformance.</t>
        </is>
      </c>
    </row>
    <row r="9">
      <c r="A9" s="5" t="inlineStr">
        <is>
          <t>Other sheets: fund comparison, Cornell vs. 60/40, and data sources and limitations (Notes).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2" customWidth="1" min="3" max="3"/>
    <col width="12" customWidth="1" min="4" max="4"/>
    <col width="11" customWidth="1" min="5" max="5"/>
    <col width="9" customWidth="1" min="6" max="6"/>
    <col width="9" customWidth="1" min="7" max="7"/>
    <col width="11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22" customWidth="1" min="14" max="14"/>
  </cols>
  <sheetData>
    <row r="1" ht="32" customHeight="1">
      <c r="A1" s="6" t="inlineStr">
        <is>
          <t>Fund</t>
        </is>
      </c>
      <c r="B1" s="6" t="inlineStr">
        <is>
          <t>Name</t>
        </is>
      </c>
      <c r="C1" s="6" t="inlineStr">
        <is>
          <t>Avg yearly return</t>
        </is>
      </c>
      <c r="D1" s="6" t="inlineStr">
        <is>
          <t>Yearly volatility</t>
        </is>
      </c>
      <c r="E1" s="6" t="inlineStr">
        <is>
          <t>Worst drop</t>
        </is>
      </c>
      <c r="F1" s="6" t="inlineStr">
        <is>
          <t>Sharpe ratio</t>
        </is>
      </c>
      <c r="G1" s="6" t="inlineStr">
        <is>
          <t>Yearly fee</t>
        </is>
      </c>
      <c r="H1" s="6" t="inlineStr">
        <is>
          <t>Alpha per year</t>
        </is>
      </c>
      <c r="I1" s="6" t="inlineStr">
        <is>
          <t>Alpha 95% CI low</t>
        </is>
      </c>
      <c r="J1" s="6" t="inlineStr">
        <is>
          <t>Alpha 95% CI high</t>
        </is>
      </c>
      <c r="K1" s="6" t="inlineStr">
        <is>
          <t>Alpha p-value</t>
        </is>
      </c>
      <c r="L1" s="6" t="inlineStr">
        <is>
          <t>Market beta</t>
        </is>
      </c>
      <c r="M1" s="6" t="inlineStr">
        <is>
          <t>R-squared</t>
        </is>
      </c>
      <c r="N1" s="6" t="inlineStr">
        <is>
          <t>Verdict</t>
        </is>
      </c>
    </row>
    <row r="2">
      <c r="A2" s="2" t="inlineStr">
        <is>
          <t>FCNTX</t>
        </is>
      </c>
      <c r="B2" s="2" t="inlineStr">
        <is>
          <t>Fidelity Contrafund</t>
        </is>
      </c>
      <c r="C2" s="7" t="n">
        <v>0.1587552149462732</v>
      </c>
      <c r="D2" s="7" t="n">
        <v>0.1602379236778507</v>
      </c>
      <c r="E2" s="7" t="n">
        <v>-0.3093223492019218</v>
      </c>
      <c r="F2" s="8" t="n">
        <v>0.8824218818178321</v>
      </c>
      <c r="G2" s="9" t="n">
        <v>0.0074</v>
      </c>
      <c r="H2" s="7" t="n">
        <v>0.01690282178412292</v>
      </c>
      <c r="I2" s="7" t="n">
        <v>-0.008345111302583757</v>
      </c>
      <c r="J2" s="7" t="n">
        <v>0.04215075487082959</v>
      </c>
      <c r="K2" s="8" t="n">
        <v>0.1877490514765953</v>
      </c>
      <c r="L2" s="8" t="n">
        <v>0.9923172712880928</v>
      </c>
      <c r="M2" s="8" t="n">
        <v>0.9317343799345312</v>
      </c>
      <c r="N2" s="2" t="inlineStr">
        <is>
          <t>can't tell</t>
        </is>
      </c>
    </row>
    <row r="3">
      <c r="A3" s="2" t="inlineStr">
        <is>
          <t>AGTHX</t>
        </is>
      </c>
      <c r="B3" s="2" t="inlineStr">
        <is>
          <t>American Funds Growth Fund of America (A)</t>
        </is>
      </c>
      <c r="C3" s="7" t="n">
        <v>0.141866622726194</v>
      </c>
      <c r="D3" s="7" t="n">
        <v>0.167378463936811</v>
      </c>
      <c r="E3" s="7" t="n">
        <v>-0.3357861369574259</v>
      </c>
      <c r="F3" s="8" t="n">
        <v>0.7619080726027305</v>
      </c>
      <c r="G3" s="9" t="n">
        <v>0.0059</v>
      </c>
      <c r="H3" s="7" t="n">
        <v>0.002574830934366077</v>
      </c>
      <c r="I3" s="7" t="n">
        <v>-0.01793347937873644</v>
      </c>
      <c r="J3" s="7" t="n">
        <v>0.02308314124746859</v>
      </c>
      <c r="K3" s="8" t="n">
        <v>0.8042892107742631</v>
      </c>
      <c r="L3" s="8" t="n">
        <v>1.029723254410762</v>
      </c>
      <c r="M3" s="8" t="n">
        <v>0.958797636820276</v>
      </c>
      <c r="N3" s="2" t="inlineStr">
        <is>
          <t>can't tell</t>
        </is>
      </c>
    </row>
    <row r="4">
      <c r="A4" s="2" t="inlineStr">
        <is>
          <t>TRBCX</t>
        </is>
      </c>
      <c r="B4" s="2" t="inlineStr">
        <is>
          <t>T. Rowe Price Blue Chip Growth</t>
        </is>
      </c>
      <c r="C4" s="7" t="n">
        <v>0.1444567048285692</v>
      </c>
      <c r="D4" s="7" t="n">
        <v>0.1805077978876628</v>
      </c>
      <c r="E4" s="7" t="n">
        <v>-0.3977141248418644</v>
      </c>
      <c r="F4" s="8" t="n">
        <v>0.7322049700696857</v>
      </c>
      <c r="G4" s="9" t="n">
        <v>0.006999999999999999</v>
      </c>
      <c r="H4" s="7" t="n">
        <v>-0.00332539327960721</v>
      </c>
      <c r="I4" s="7" t="n">
        <v>-0.03118423330954085</v>
      </c>
      <c r="J4" s="7" t="n">
        <v>0.02453344675032642</v>
      </c>
      <c r="K4" s="8" t="n">
        <v>0.8137465419088941</v>
      </c>
      <c r="L4" s="8" t="n">
        <v>1.078574808259307</v>
      </c>
      <c r="M4" s="8" t="n">
        <v>0.9345757994725821</v>
      </c>
      <c r="N4" s="2" t="inlineStr">
        <is>
          <t>can't tell</t>
        </is>
      </c>
    </row>
    <row r="5">
      <c r="A5" s="2" t="inlineStr">
        <is>
          <t>VFIAX</t>
        </is>
      </c>
      <c r="B5" s="2" t="inlineStr">
        <is>
          <t>Vanguard 500 Index (Admiral)</t>
        </is>
      </c>
      <c r="C5" s="7" t="n">
        <v>0.1385673911873497</v>
      </c>
      <c r="D5" s="7" t="n">
        <v>0.1501143341906008</v>
      </c>
      <c r="E5" s="7" t="n">
        <v>-0.2390334569193114</v>
      </c>
      <c r="F5" s="8" t="n">
        <v>0.8116886828426333</v>
      </c>
      <c r="G5" s="9" t="n">
        <v>0.0004</v>
      </c>
      <c r="H5" s="7" t="n"/>
      <c r="I5" s="7" t="n"/>
      <c r="J5" s="7" t="n"/>
      <c r="K5" s="8" t="n"/>
      <c r="L5" s="8" t="n"/>
      <c r="M5" s="8" t="n"/>
      <c r="N5" s="2" t="inlineStr">
        <is>
          <t>benchmark (index fund)</t>
        </is>
      </c>
    </row>
    <row r="7">
      <c r="A7" s="5" t="inlineStr">
        <is>
          <t>Returns are monthly, Jan 2015 to Aug 2026, after fund fees (adjusted prices include reinvested dividends).</t>
        </is>
      </c>
    </row>
    <row r="8">
      <c r="A8" s="5" t="inlineStr">
        <is>
          <t>Alpha: Fama-French 3-factor regression of (fund return - RF) on Mkt-RF, SMB, HML; monthly alpha x 12.</t>
        </is>
      </c>
    </row>
    <row r="9">
      <c r="A9" s="5" t="inlineStr">
        <is>
          <t>Verdict: 'clearly positive/negative' only if the whole 95% confidence interval is above/below zero.</t>
        </is>
      </c>
    </row>
    <row r="10">
      <c r="A10" s="5" t="inlineStr">
        <is>
          <t>Blue = typed in by hand from each fund's website (net expense ratio, checked Oct 2, 2026).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12" customWidth="1" min="3" max="3"/>
    <col width="12" customWidth="1" min="4" max="4"/>
    <col width="12" customWidth="1" min="5" max="5"/>
    <col width="46" customWidth="1" min="6" max="6"/>
  </cols>
  <sheetData>
    <row r="1">
      <c r="A1" s="6" t="inlineStr">
        <is>
          <t>Fiscal year</t>
        </is>
      </c>
      <c r="B1" s="6" t="inlineStr">
        <is>
          <t>Cornell</t>
        </is>
      </c>
      <c r="C1" s="6" t="inlineStr">
        <is>
          <t>60/40</t>
        </is>
      </c>
      <c r="D1" s="6" t="inlineStr">
        <is>
          <t>Difference</t>
        </is>
      </c>
      <c r="E1" s="6" t="inlineStr">
        <is>
          <t>Peer median</t>
        </is>
      </c>
      <c r="F1" s="6" t="inlineStr">
        <is>
          <t>Source (Cornell, peer)</t>
        </is>
      </c>
    </row>
    <row r="2">
      <c r="A2" s="2" t="inlineStr">
        <is>
          <t>FY2015</t>
        </is>
      </c>
      <c r="B2" s="10" t="n">
        <v>0.034</v>
      </c>
      <c r="C2" s="7" t="n">
        <v>0.04977056655130618</v>
      </c>
      <c r="D2" s="7">
        <f>B2-C2</f>
        <v/>
      </c>
      <c r="E2" s="11" t="n"/>
      <c r="F2" s="2" t="inlineStr">
        <is>
          <t>Cornell Chronicle</t>
        </is>
      </c>
    </row>
    <row r="3">
      <c r="A3" s="2" t="inlineStr">
        <is>
          <t>FY2016</t>
        </is>
      </c>
      <c r="B3" s="10" t="n">
        <v>-0.033</v>
      </c>
      <c r="C3" s="7" t="n">
        <v>0.03840632685665701</v>
      </c>
      <c r="D3" s="7">
        <f>B3-C3</f>
        <v/>
      </c>
      <c r="E3" s="11" t="n"/>
      <c r="F3" s="2" t="inlineStr">
        <is>
          <t>Cornell Chronicle</t>
        </is>
      </c>
    </row>
    <row r="4">
      <c r="A4" s="2" t="inlineStr">
        <is>
          <t>FY2017</t>
        </is>
      </c>
      <c r="B4" s="10" t="n">
        <v>0.125</v>
      </c>
      <c r="C4" s="7" t="n">
        <v>0.1050364462438222</v>
      </c>
      <c r="D4" s="7">
        <f>B4-C4</f>
        <v/>
      </c>
      <c r="E4" s="11" t="n"/>
      <c r="F4" s="2" t="inlineStr">
        <is>
          <t>Chief Investment Officer / Pensions &amp; Investments</t>
        </is>
      </c>
    </row>
    <row r="5">
      <c r="A5" s="2" t="inlineStr">
        <is>
          <t>FY2018</t>
        </is>
      </c>
      <c r="B5" s="10" t="n">
        <v>0.106</v>
      </c>
      <c r="C5" s="7" t="n">
        <v>0.08425809604091872</v>
      </c>
      <c r="D5" s="7">
        <f>B5-C5</f>
        <v/>
      </c>
      <c r="E5" s="11" t="n"/>
      <c r="F5" s="2" t="inlineStr">
        <is>
          <t>Cornell Chronicle</t>
        </is>
      </c>
    </row>
    <row r="6">
      <c r="A6" s="2" t="inlineStr">
        <is>
          <t>FY2019</t>
        </is>
      </c>
      <c r="B6" s="10" t="n">
        <v>0.053</v>
      </c>
      <c r="C6" s="7" t="n">
        <v>0.08914347162203207</v>
      </c>
      <c r="D6" s="7">
        <f>B6-C6</f>
        <v/>
      </c>
      <c r="E6" s="11" t="n"/>
      <c r="F6" s="2" t="inlineStr">
        <is>
          <t>Cornell Chronicle</t>
        </is>
      </c>
    </row>
    <row r="7">
      <c r="A7" s="2" t="inlineStr">
        <is>
          <t>FY2020</t>
        </is>
      </c>
      <c r="B7" s="10" t="n">
        <v>0.019</v>
      </c>
      <c r="C7" s="7" t="n">
        <v>0.08009441051468569</v>
      </c>
      <c r="D7" s="7">
        <f>B7-C7</f>
        <v/>
      </c>
      <c r="E7" s="10" t="n">
        <v>0.022</v>
      </c>
      <c r="F7" s="2" t="inlineStr">
        <is>
          <t>Cornell June 2025 Quarterly Report</t>
        </is>
      </c>
    </row>
    <row r="8">
      <c r="A8" s="2" t="inlineStr">
        <is>
          <t>FY2021</t>
        </is>
      </c>
      <c r="B8" s="10" t="n">
        <v>0.419</v>
      </c>
      <c r="C8" s="7" t="n">
        <v>0.2472280494640009</v>
      </c>
      <c r="D8" s="7">
        <f>B8-C8</f>
        <v/>
      </c>
      <c r="E8" s="10" t="n">
        <v>0.309</v>
      </c>
      <c r="F8" s="2" t="inlineStr">
        <is>
          <t>Cornell June 2025 Quarterly Report</t>
        </is>
      </c>
    </row>
    <row r="9">
      <c r="A9" s="2" t="inlineStr">
        <is>
          <t>FY2022</t>
        </is>
      </c>
      <c r="B9" s="10" t="n">
        <v>-0.013</v>
      </c>
      <c r="C9" s="7" t="n">
        <v>-0.1256981364577299</v>
      </c>
      <c r="D9" s="7">
        <f>B9-C9</f>
        <v/>
      </c>
      <c r="E9" s="10" t="n">
        <v>-0.059</v>
      </c>
      <c r="F9" s="2" t="inlineStr">
        <is>
          <t>Cornell June 2025 Quarterly Report</t>
        </is>
      </c>
    </row>
    <row r="10">
      <c r="A10" s="2" t="inlineStr">
        <is>
          <t>FY2023</t>
        </is>
      </c>
      <c r="B10" s="10" t="n">
        <v>0.036</v>
      </c>
      <c r="C10" s="7" t="n">
        <v>0.1079014446942235</v>
      </c>
      <c r="D10" s="7">
        <f>B10-C10</f>
        <v/>
      </c>
      <c r="E10" s="10" t="n">
        <v>0.073</v>
      </c>
      <c r="F10" s="2" t="inlineStr">
        <is>
          <t>Cornell June 2025 Quarterly Report</t>
        </is>
      </c>
    </row>
    <row r="11">
      <c r="A11" s="2" t="inlineStr">
        <is>
          <t>FY2024</t>
        </is>
      </c>
      <c r="B11" s="10" t="n">
        <v>0.08699999999999999</v>
      </c>
      <c r="C11" s="7" t="n">
        <v>0.1461600609008622</v>
      </c>
      <c r="D11" s="7">
        <f>B11-C11</f>
        <v/>
      </c>
      <c r="E11" s="10" t="n">
        <v>0.102</v>
      </c>
      <c r="F11" s="2" t="inlineStr">
        <is>
          <t>Cornell June 2025 Quarterly Report</t>
        </is>
      </c>
    </row>
    <row r="12">
      <c r="A12" s="2" t="inlineStr">
        <is>
          <t>FY2025</t>
        </is>
      </c>
      <c r="B12" s="10" t="n">
        <v>0.123</v>
      </c>
      <c r="C12" s="7" t="n">
        <v>0.1147547703269389</v>
      </c>
      <c r="D12" s="7">
        <f>B12-C12</f>
        <v/>
      </c>
      <c r="E12" s="10" t="n">
        <v>0.107</v>
      </c>
      <c r="F12" s="2" t="inlineStr">
        <is>
          <t>Cornell June 2025 Quarterly Report</t>
        </is>
      </c>
    </row>
    <row r="14">
      <c r="A14" s="3" t="inlineStr">
        <is>
          <t>Average</t>
        </is>
      </c>
      <c r="B14" s="12">
        <f>AVERAGE(B2:B12)</f>
        <v/>
      </c>
      <c r="C14" s="12">
        <f>AVERAGE(C2:C12)</f>
        <v/>
      </c>
      <c r="D14" s="12">
        <f>AVERAGE(D2:D12)</f>
        <v/>
      </c>
    </row>
    <row r="15">
      <c r="A15" s="3" t="inlineStr">
        <is>
          <t>SD of difference</t>
        </is>
      </c>
      <c r="D15" s="12">
        <f>STDEV(D2:D12)</f>
        <v/>
      </c>
    </row>
    <row r="16">
      <c r="A16" s="3" t="inlineStr">
        <is>
          <t>Number of years</t>
        </is>
      </c>
      <c r="D16" s="13">
        <f>COUNT(D2:D12)</f>
        <v/>
      </c>
    </row>
    <row r="17">
      <c r="A17" s="3" t="inlineStr">
        <is>
          <t>Gap needed to be sure (2 x SD / sqrt(years))</t>
        </is>
      </c>
      <c r="D17" s="12">
        <f>2*D15/SQRT(D16)</f>
        <v/>
      </c>
    </row>
    <row r="18">
      <c r="A18" s="3" t="inlineStr">
        <is>
          <t>Average difference excluding FY2021</t>
        </is>
      </c>
      <c r="D18" s="12">
        <f>(SUM(D2:D12)-D8)/(D16-1)</f>
        <v/>
      </c>
    </row>
    <row r="19">
      <c r="A19" s="5" t="inlineStr">
        <is>
          <t>Reading: the average yearly gap must exceed the 'gap needed' figure before it is clearly more than luck.</t>
        </is>
      </c>
    </row>
    <row r="21">
      <c r="A21" s="3" t="inlineStr">
        <is>
          <t>Annualized returns to June 30, 2025 (Cornell June 2025 Quarterly Report)</t>
        </is>
      </c>
    </row>
    <row r="22">
      <c r="A22" s="6" t="inlineStr">
        <is>
          <t>Period</t>
        </is>
      </c>
      <c r="B22" s="6" t="inlineStr">
        <is>
          <t>Cornell</t>
        </is>
      </c>
      <c r="C22" s="6" t="inlineStr">
        <is>
          <t>Cornell target portfolio</t>
        </is>
      </c>
      <c r="D22" s="6" t="inlineStr">
        <is>
          <t>Peer median</t>
        </is>
      </c>
    </row>
    <row r="23">
      <c r="A23" s="2" t="inlineStr">
        <is>
          <t>1 year</t>
        </is>
      </c>
      <c r="B23" s="10" t="n">
        <v>0.123</v>
      </c>
      <c r="C23" s="10" t="n">
        <v>0.134</v>
      </c>
      <c r="D23" s="10" t="n">
        <v>0.107</v>
      </c>
    </row>
    <row r="24">
      <c r="A24" s="2" t="inlineStr">
        <is>
          <t>3 years</t>
        </is>
      </c>
      <c r="B24" s="10" t="n">
        <v>0.08199999999999999</v>
      </c>
      <c r="C24" s="10" t="n">
        <v>0.124</v>
      </c>
      <c r="D24" s="10" t="n">
        <v>0.09300000000000001</v>
      </c>
    </row>
    <row r="25">
      <c r="A25" s="2" t="inlineStr">
        <is>
          <t>5 years</t>
        </is>
      </c>
      <c r="B25" s="10" t="n">
        <v>0.121</v>
      </c>
      <c r="C25" s="10" t="n">
        <v>0.113</v>
      </c>
      <c r="D25" s="10" t="n">
        <v>0.103</v>
      </c>
    </row>
    <row r="26">
      <c r="A26" s="2" t="inlineStr">
        <is>
          <t>10 years</t>
        </is>
      </c>
      <c r="B26" s="10" t="n">
        <v>0.08599999999999999</v>
      </c>
      <c r="C26" s="10" t="n">
        <v>0.08500000000000001</v>
      </c>
      <c r="D26" s="10" t="n">
        <v>0.08</v>
      </c>
    </row>
    <row r="28">
      <c r="A28" s="5" t="inlineStr">
        <is>
          <t>Blue = typed in from Cornell's published reports (see Notes).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4" t="inlineStr">
        <is>
          <t>Data sources</t>
        </is>
      </c>
    </row>
    <row r="2">
      <c r="A2" s="15" t="inlineStr">
        <is>
          <t>Fund prices (monthly, dividend-adjusted)</t>
        </is>
      </c>
      <c r="B2" s="4" t="inlineStr">
        <is>
          <t>Yahoo Finance via the yfinance Python package</t>
        </is>
      </c>
    </row>
    <row r="3">
      <c r="A3" s="15" t="inlineStr">
        <is>
          <t>Fama-French 3 factors (monthly)</t>
        </is>
      </c>
      <c r="B3" s="16" t="inlineStr">
        <is>
          <t>https://mba.tuck.dartmouth.edu/pages/faculty/ken.french/ftp/F-F_Research_Data_Factors_CSV.zip</t>
        </is>
      </c>
    </row>
    <row r="4">
      <c r="A4" s="15" t="inlineStr">
        <is>
          <t>Expense ratios</t>
        </is>
      </c>
      <c r="B4" s="4" t="inlineStr">
        <is>
          <t>Each fund's own website (fidelity.com, capitalgroup.com, troweprice.com, investor.vanguard.com), checked Oct 2, 2026</t>
        </is>
      </c>
    </row>
    <row r="5">
      <c r="A5" s="15" t="inlineStr">
        <is>
          <t>Cornell investment reports</t>
        </is>
      </c>
      <c r="B5" s="16" t="inlineStr">
        <is>
          <t>https://investmentoffice.cornell.edu</t>
        </is>
      </c>
    </row>
    <row r="6">
      <c r="A6" s="15" t="inlineStr">
        <is>
          <t>Cornell returns and peer median</t>
        </is>
      </c>
      <c r="B6" s="4" t="inlineStr">
        <is>
          <t>FY2020-25 and annualized figures: Cornell June 2025 Quarterly Report. FY2015-19: Cornell Chronicle; FY2017: Chief Investment Officer / Pensions &amp; Investments. Peer median = BNY Endowments &amp; Foundations median.</t>
        </is>
      </c>
    </row>
    <row r="7">
      <c r="A7" s="15" t="inlineStr">
        <is>
          <t>60/40 portfolio</t>
        </is>
      </c>
      <c r="B7" s="4" t="inlineStr">
        <is>
          <t>60% VTSMX (Vanguard Total Stock Market) + 40% VBMFX (Vanguard Total Bond Market), rebalanced monthly, July-June fiscal years</t>
        </is>
      </c>
    </row>
    <row r="8">
      <c r="A8" s="15" t="inlineStr">
        <is>
          <t>Code</t>
        </is>
      </c>
      <c r="B8" s="4" t="inlineStr">
        <is>
          <t>analysis.py in this repository rebuilds every number and this workbook</t>
        </is>
      </c>
    </row>
    <row r="10">
      <c r="A10" s="14" t="inlineStr">
        <is>
          <t>Limitations</t>
        </is>
      </c>
    </row>
    <row r="11">
      <c r="A11" s="15" t="inlineStr">
        <is>
          <t>Survivorship bias</t>
        </is>
      </c>
      <c r="B11" s="4" t="inlineStr">
        <is>
          <t>The 3 funds were picked because they still exist and are well known; funds that did badly and closed are missing, which flatters active managers.</t>
        </is>
      </c>
    </row>
    <row r="12">
      <c r="A12" s="15" t="inlineStr">
        <is>
          <t>Small sample</t>
        </is>
      </c>
      <c r="B12" s="4" t="inlineStr">
        <is>
          <t>Only 3 active funds and about 11.7 years of monthly data; most alphas cannot be told apart from zero.</t>
        </is>
      </c>
    </row>
    <row r="13">
      <c r="A13" s="15" t="inlineStr">
        <is>
          <t>Factor model</t>
        </is>
      </c>
      <c r="B13" s="4" t="inlineStr">
        <is>
          <t>US-stock-only 3-factor model (market, size, value); no momentum, quality or international factors.</t>
        </is>
      </c>
    </row>
    <row r="14">
      <c r="A14" s="15" t="inlineStr">
        <is>
          <t>Cornell comparison</t>
        </is>
      </c>
      <c r="B14" s="4" t="inlineStr">
        <is>
          <t>Cornell's returns are after its managers' fees; it holds private investments valued infrequently, which smooths returns; 11 years is short and FY2021 (+41.9%) dominates.</t>
        </is>
      </c>
    </row>
    <row r="15">
      <c r="A15" s="15" t="inlineStr">
        <is>
          <t>Peer median</t>
        </is>
      </c>
      <c r="B15" s="4" t="inlineStr">
        <is>
          <t>Only collected here for FY2020-FY2025.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2026-10-02T20:11:31Z</dcterms:created>
  <dcterms:modified xmlns:dcterms="http://purl.org/dc/terms/" xmlns:xsi="http://www.w3.org/2001/XMLSchema-instance" xsi:type="dcterms:W3CDTF">2026-10-02T20:11:31Z</dcterms:modified>
</cp:coreProperties>
</file>